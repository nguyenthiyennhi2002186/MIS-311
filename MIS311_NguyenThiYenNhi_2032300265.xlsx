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53C3FD-CD82-4D23-B836-A8E536E6C37A}" xr6:coauthVersionLast="47" xr6:coauthVersionMax="47" xr10:uidLastSave="{00000000-0000-0000-0000-000000000000}"/>
  <bookViews>
    <workbookView xWindow="-108" yWindow="-108" windowWidth="23256" windowHeight="12576" activeTab="2" xr2:uid="{79F3EB0C-DA9F-4A11-A5D8-569247B8F7D0}"/>
  </bookViews>
  <sheets>
    <sheet name="sales" sheetId="1" r:id="rId1"/>
    <sheet name="Sheet3" sheetId="5" r:id="rId2"/>
    <sheet name="Sheet4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" l="1"/>
  <c r="M2" i="1"/>
  <c r="M3" i="1"/>
  <c r="M4" i="1"/>
  <c r="M5" i="1"/>
  <c r="M6" i="1"/>
  <c r="M7" i="1"/>
  <c r="M8" i="1"/>
  <c r="M9" i="1"/>
  <c r="I1" i="1" l="1"/>
</calcChain>
</file>

<file path=xl/sharedStrings.xml><?xml version="1.0" encoding="utf-8"?>
<sst xmlns="http://schemas.openxmlformats.org/spreadsheetml/2006/main" count="1322" uniqueCount="44">
  <si>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</si>
  <si>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</si>
  <si>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</si>
  <si>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</si>
  <si>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</si>
  <si>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</si>
  <si>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</si>
  <si>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</si>
  <si>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</si>
  <si>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</si>
  <si>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</si>
  <si>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</si>
  <si>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</si>
  <si>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</si>
  <si>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</si>
  <si>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</si>
  <si>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</si>
  <si>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</si>
  <si>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</si>
  <si>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</si>
  <si>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</si>
  <si>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</si>
  <si>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</si>
  <si>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</si>
  <si>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</si>
  <si>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 xml:space="preserve">Missing Vaues </t>
  </si>
  <si>
    <t xml:space="preserve">Unknown </t>
  </si>
  <si>
    <t>Unknown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</si>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</sst>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Sale(AutoRecovered).xlsx]Sheet3!PivotTable2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Unknown 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17855.869999999995</c:v>
                </c:pt>
                <c:pt idx="1">
                  <c:v>13373.230000000001</c:v>
                </c:pt>
                <c:pt idx="2">
                  <c:v>83.68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C-481D-B1E9-2E2FC69B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936416"/>
        <c:axId val="1592942176"/>
      </c:barChart>
      <c:catAx>
        <c:axId val="159293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2176"/>
        <c:crosses val="autoZero"/>
        <c:auto val="1"/>
        <c:lblAlgn val="ctr"/>
        <c:lblOffset val="100"/>
        <c:noMultiLvlLbl val="0"/>
      </c:catAx>
      <c:valAx>
        <c:axId val="159294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Sale(AutoRecovered).xlsx]Sheet4!PivotTable3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11133.049999999997</c:v>
                </c:pt>
                <c:pt idx="1">
                  <c:v>9187.4599999999973</c:v>
                </c:pt>
                <c:pt idx="2">
                  <c:v>10992.269999999997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E-489B-912E-C56C3E8D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809856"/>
        <c:axId val="1549796896"/>
      </c:barChart>
      <c:catAx>
        <c:axId val="154980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96896"/>
        <c:crosses val="autoZero"/>
        <c:auto val="1"/>
        <c:lblAlgn val="ctr"/>
        <c:lblOffset val="100"/>
        <c:noMultiLvlLbl val="0"/>
      </c:catAx>
      <c:valAx>
        <c:axId val="15497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80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167640</xdr:rowOff>
    </xdr:from>
    <xdr:to>
      <xdr:col>10</xdr:col>
      <xdr:colOff>297180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D678F1-67B0-58C0-451C-1A8C078A9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175260</xdr:rowOff>
    </xdr:from>
    <xdr:to>
      <xdr:col>11</xdr:col>
      <xdr:colOff>304800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75E54-4F54-8C51-AC11-4C4AEDC13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8.836558101852" createdVersion="8" refreshedVersion="8" minRefreshableVersion="3" recordCount="253" xr:uid="{27A459B0-7B36-44D6-9743-51448DE60C27}">
  <cacheSource type="worksheet">
    <worksheetSource name="SalesData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 count="2">
        <s v="A"/>
        <s v="B"/>
      </sharedItems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3">
        <s v="Member"/>
        <s v="Normal"/>
        <s v="Unknown "/>
      </sharedItems>
    </cacheField>
    <cacheField name="product_name" numFmtId="0">
      <sharedItems count="5">
        <s v="Shampoo"/>
        <s v="Notebook"/>
        <s v="Apple"/>
        <s v="Detergent"/>
        <s v="Orange Juice"/>
      </sharedItems>
    </cacheField>
    <cacheField name="product_category" numFmtId="0">
      <sharedItems count="6">
        <s v="Personal Care"/>
        <s v="Stationery"/>
        <s v="Fruits"/>
        <s v="Household"/>
        <s v="Beverages"/>
        <s v="Unknown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1"/>
    <x v="0"/>
    <x v="0"/>
    <x v="0"/>
    <x v="0"/>
    <x v="0"/>
    <n v="3"/>
    <n v="17.66"/>
  </r>
  <r>
    <n v="2"/>
    <x v="1"/>
    <x v="1"/>
    <x v="1"/>
    <x v="1"/>
    <x v="1"/>
    <n v="10"/>
    <n v="29.43"/>
  </r>
  <r>
    <n v="3"/>
    <x v="0"/>
    <x v="0"/>
    <x v="0"/>
    <x v="2"/>
    <x v="2"/>
    <n v="15"/>
    <n v="19.260000000000002"/>
  </r>
  <r>
    <n v="4"/>
    <x v="0"/>
    <x v="2"/>
    <x v="1"/>
    <x v="3"/>
    <x v="3"/>
    <n v="5"/>
    <n v="41.73"/>
  </r>
  <r>
    <n v="5"/>
    <x v="1"/>
    <x v="1"/>
    <x v="0"/>
    <x v="4"/>
    <x v="4"/>
    <n v="7"/>
    <n v="26.22"/>
  </r>
  <r>
    <n v="6"/>
    <x v="0"/>
    <x v="2"/>
    <x v="1"/>
    <x v="0"/>
    <x v="1"/>
    <n v="9"/>
    <n v="108.24"/>
  </r>
  <r>
    <n v="7"/>
    <x v="0"/>
    <x v="2"/>
    <x v="1"/>
    <x v="0"/>
    <x v="0"/>
    <n v="1"/>
    <n v="11.46"/>
  </r>
  <r>
    <n v="8"/>
    <x v="1"/>
    <x v="1"/>
    <x v="1"/>
    <x v="0"/>
    <x v="3"/>
    <n v="9"/>
    <n v="175.55"/>
  </r>
  <r>
    <n v="9"/>
    <x v="0"/>
    <x v="2"/>
    <x v="0"/>
    <x v="2"/>
    <x v="2"/>
    <n v="20"/>
    <n v="302.81"/>
  </r>
  <r>
    <n v="10"/>
    <x v="1"/>
    <x v="1"/>
    <x v="0"/>
    <x v="0"/>
    <x v="2"/>
    <n v="19"/>
    <n v="374.48"/>
  </r>
  <r>
    <n v="11"/>
    <x v="0"/>
    <x v="2"/>
    <x v="1"/>
    <x v="3"/>
    <x v="4"/>
    <n v="7"/>
    <n v="69.81"/>
  </r>
  <r>
    <n v="13"/>
    <x v="0"/>
    <x v="0"/>
    <x v="1"/>
    <x v="4"/>
    <x v="3"/>
    <n v="4"/>
    <n v="14.08"/>
  </r>
  <r>
    <n v="12"/>
    <x v="1"/>
    <x v="1"/>
    <x v="0"/>
    <x v="4"/>
    <x v="3"/>
    <n v="12"/>
    <n v="88.47"/>
  </r>
  <r>
    <n v="13"/>
    <x v="0"/>
    <x v="0"/>
    <x v="1"/>
    <x v="4"/>
    <x v="3"/>
    <n v="4"/>
    <n v="14.08"/>
  </r>
  <r>
    <n v="14"/>
    <x v="1"/>
    <x v="1"/>
    <x v="0"/>
    <x v="2"/>
    <x v="2"/>
    <n v="5"/>
    <n v="47.13"/>
  </r>
  <r>
    <n v="15"/>
    <x v="1"/>
    <x v="1"/>
    <x v="1"/>
    <x v="2"/>
    <x v="4"/>
    <n v="3"/>
    <n v="62.53"/>
  </r>
  <r>
    <n v="16"/>
    <x v="1"/>
    <x v="1"/>
    <x v="1"/>
    <x v="1"/>
    <x v="1"/>
    <n v="8"/>
    <n v="47.51"/>
  </r>
  <r>
    <n v="17"/>
    <x v="1"/>
    <x v="1"/>
    <x v="0"/>
    <x v="2"/>
    <x v="0"/>
    <n v="2"/>
    <n v="4.5599999999999996"/>
  </r>
  <r>
    <n v="18"/>
    <x v="1"/>
    <x v="1"/>
    <x v="1"/>
    <x v="1"/>
    <x v="2"/>
    <n v="15"/>
    <n v="212.82"/>
  </r>
  <r>
    <n v="19"/>
    <x v="0"/>
    <x v="0"/>
    <x v="0"/>
    <x v="2"/>
    <x v="4"/>
    <n v="2"/>
    <n v="41.92"/>
  </r>
  <r>
    <n v="20"/>
    <x v="0"/>
    <x v="2"/>
    <x v="1"/>
    <x v="3"/>
    <x v="0"/>
    <n v="11"/>
    <n v="59.75"/>
  </r>
  <r>
    <n v="21"/>
    <x v="1"/>
    <x v="1"/>
    <x v="1"/>
    <x v="0"/>
    <x v="0"/>
    <n v="11"/>
    <n v="51.32"/>
  </r>
  <r>
    <n v="22"/>
    <x v="1"/>
    <x v="1"/>
    <x v="1"/>
    <x v="4"/>
    <x v="4"/>
    <n v="1"/>
    <n v="7.28"/>
  </r>
  <r>
    <n v="23"/>
    <x v="0"/>
    <x v="0"/>
    <x v="0"/>
    <x v="0"/>
    <x v="4"/>
    <n v="16"/>
    <n v="33.380000000000003"/>
  </r>
  <r>
    <n v="24"/>
    <x v="0"/>
    <x v="2"/>
    <x v="1"/>
    <x v="2"/>
    <x v="2"/>
    <n v="2"/>
    <n v="40.770000000000003"/>
  </r>
  <r>
    <n v="25"/>
    <x v="1"/>
    <x v="1"/>
    <x v="0"/>
    <x v="3"/>
    <x v="4"/>
    <n v="18"/>
    <n v="218.22"/>
  </r>
  <r>
    <n v="26"/>
    <x v="1"/>
    <x v="1"/>
    <x v="1"/>
    <x v="1"/>
    <x v="2"/>
    <n v="16"/>
    <n v="238.65"/>
  </r>
  <r>
    <n v="26"/>
    <x v="1"/>
    <x v="1"/>
    <x v="1"/>
    <x v="1"/>
    <x v="2"/>
    <n v="16"/>
    <n v="238.65"/>
  </r>
  <r>
    <n v="27"/>
    <x v="0"/>
    <x v="0"/>
    <x v="0"/>
    <x v="3"/>
    <x v="3"/>
    <n v="2"/>
    <n v="20.440000000000001"/>
  </r>
  <r>
    <n v="28"/>
    <x v="0"/>
    <x v="0"/>
    <x v="0"/>
    <x v="3"/>
    <x v="0"/>
    <n v="17"/>
    <n v="299.41000000000003"/>
  </r>
  <r>
    <n v="29"/>
    <x v="1"/>
    <x v="1"/>
    <x v="0"/>
    <x v="0"/>
    <x v="1"/>
    <n v="17"/>
    <n v="223.74"/>
  </r>
  <r>
    <n v="30"/>
    <x v="0"/>
    <x v="2"/>
    <x v="0"/>
    <x v="4"/>
    <x v="5"/>
    <n v="15"/>
    <n v="198.54"/>
  </r>
  <r>
    <n v="31"/>
    <x v="0"/>
    <x v="2"/>
    <x v="2"/>
    <x v="0"/>
    <x v="2"/>
    <n v="3"/>
    <n v="11.88"/>
  </r>
  <r>
    <n v="32"/>
    <x v="0"/>
    <x v="0"/>
    <x v="0"/>
    <x v="4"/>
    <x v="5"/>
    <n v="3"/>
    <n v="17.3"/>
  </r>
  <r>
    <n v="33"/>
    <x v="1"/>
    <x v="1"/>
    <x v="1"/>
    <x v="1"/>
    <x v="1"/>
    <n v="17"/>
    <n v="126.24"/>
  </r>
  <r>
    <n v="34"/>
    <x v="1"/>
    <x v="1"/>
    <x v="1"/>
    <x v="4"/>
    <x v="3"/>
    <n v="9"/>
    <n v="78.290000000000006"/>
  </r>
  <r>
    <n v="35"/>
    <x v="0"/>
    <x v="0"/>
    <x v="2"/>
    <x v="2"/>
    <x v="0"/>
    <n v="2"/>
    <n v="28.72"/>
  </r>
  <r>
    <n v="36"/>
    <x v="0"/>
    <x v="0"/>
    <x v="0"/>
    <x v="3"/>
    <x v="0"/>
    <n v="15"/>
    <n v="210.9"/>
  </r>
  <r>
    <n v="37"/>
    <x v="1"/>
    <x v="1"/>
    <x v="0"/>
    <x v="0"/>
    <x v="2"/>
    <n v="16"/>
    <n v="190.72"/>
  </r>
  <r>
    <n v="38"/>
    <x v="1"/>
    <x v="1"/>
    <x v="0"/>
    <x v="1"/>
    <x v="4"/>
    <n v="14"/>
    <n v="81.19"/>
  </r>
  <r>
    <n v="40"/>
    <x v="0"/>
    <x v="0"/>
    <x v="1"/>
    <x v="2"/>
    <x v="2"/>
    <n v="11"/>
    <n v="13.77"/>
  </r>
  <r>
    <n v="39"/>
    <x v="0"/>
    <x v="0"/>
    <x v="0"/>
    <x v="1"/>
    <x v="4"/>
    <n v="15"/>
    <n v="246.21"/>
  </r>
  <r>
    <n v="40"/>
    <x v="0"/>
    <x v="0"/>
    <x v="1"/>
    <x v="2"/>
    <x v="2"/>
    <n v="11"/>
    <n v="13.77"/>
  </r>
  <r>
    <n v="41"/>
    <x v="0"/>
    <x v="0"/>
    <x v="0"/>
    <x v="1"/>
    <x v="3"/>
    <n v="10"/>
    <n v="115.56"/>
  </r>
  <r>
    <n v="42"/>
    <x v="0"/>
    <x v="0"/>
    <x v="1"/>
    <x v="2"/>
    <x v="3"/>
    <n v="12"/>
    <n v="140.97999999999999"/>
  </r>
  <r>
    <n v="43"/>
    <x v="0"/>
    <x v="0"/>
    <x v="1"/>
    <x v="1"/>
    <x v="2"/>
    <n v="2"/>
    <n v="8.92"/>
  </r>
  <r>
    <n v="44"/>
    <x v="0"/>
    <x v="2"/>
    <x v="2"/>
    <x v="3"/>
    <x v="2"/>
    <n v="11"/>
    <n v="43.08"/>
  </r>
  <r>
    <n v="45"/>
    <x v="1"/>
    <x v="1"/>
    <x v="0"/>
    <x v="0"/>
    <x v="3"/>
    <n v="8"/>
    <n v="134.65"/>
  </r>
  <r>
    <n v="46"/>
    <x v="0"/>
    <x v="0"/>
    <x v="0"/>
    <x v="0"/>
    <x v="2"/>
    <n v="8"/>
    <n v="136.53"/>
  </r>
  <r>
    <n v="47"/>
    <x v="0"/>
    <x v="0"/>
    <x v="1"/>
    <x v="0"/>
    <x v="1"/>
    <n v="8"/>
    <n v="10.96"/>
  </r>
  <r>
    <n v="48"/>
    <x v="1"/>
    <x v="1"/>
    <x v="1"/>
    <x v="3"/>
    <x v="0"/>
    <n v="20"/>
    <n v="213.57"/>
  </r>
  <r>
    <n v="49"/>
    <x v="1"/>
    <x v="1"/>
    <x v="1"/>
    <x v="3"/>
    <x v="5"/>
    <n v="2"/>
    <n v="13.5"/>
  </r>
  <r>
    <n v="50"/>
    <x v="0"/>
    <x v="2"/>
    <x v="1"/>
    <x v="2"/>
    <x v="1"/>
    <n v="19"/>
    <n v="335.45"/>
  </r>
  <r>
    <n v="51"/>
    <x v="0"/>
    <x v="2"/>
    <x v="1"/>
    <x v="3"/>
    <x v="1"/>
    <n v="19"/>
    <n v="346.02"/>
  </r>
  <r>
    <n v="52"/>
    <x v="0"/>
    <x v="2"/>
    <x v="0"/>
    <x v="4"/>
    <x v="2"/>
    <n v="5"/>
    <n v="59.71"/>
  </r>
  <r>
    <n v="53"/>
    <x v="1"/>
    <x v="1"/>
    <x v="1"/>
    <x v="4"/>
    <x v="2"/>
    <n v="1"/>
    <n v="20.39"/>
  </r>
  <r>
    <n v="54"/>
    <x v="0"/>
    <x v="0"/>
    <x v="1"/>
    <x v="4"/>
    <x v="2"/>
    <n v="14"/>
    <n v="70.11"/>
  </r>
  <r>
    <n v="55"/>
    <x v="1"/>
    <x v="1"/>
    <x v="0"/>
    <x v="1"/>
    <x v="3"/>
    <n v="13"/>
    <n v="216.58"/>
  </r>
  <r>
    <n v="56"/>
    <x v="0"/>
    <x v="2"/>
    <x v="0"/>
    <x v="0"/>
    <x v="0"/>
    <n v="10"/>
    <n v="212.5"/>
  </r>
  <r>
    <n v="57"/>
    <x v="0"/>
    <x v="2"/>
    <x v="0"/>
    <x v="4"/>
    <x v="4"/>
    <n v="19"/>
    <n v="414.94"/>
  </r>
  <r>
    <n v="58"/>
    <x v="0"/>
    <x v="2"/>
    <x v="1"/>
    <x v="1"/>
    <x v="2"/>
    <n v="20"/>
    <n v="427.14"/>
  </r>
  <r>
    <n v="59"/>
    <x v="0"/>
    <x v="2"/>
    <x v="0"/>
    <x v="3"/>
    <x v="1"/>
    <n v="20"/>
    <n v="331.27"/>
  </r>
  <r>
    <n v="60"/>
    <x v="0"/>
    <x v="2"/>
    <x v="0"/>
    <x v="1"/>
    <x v="1"/>
    <n v="4"/>
    <n v="59.88"/>
  </r>
  <r>
    <n v="61"/>
    <x v="0"/>
    <x v="0"/>
    <x v="0"/>
    <x v="3"/>
    <x v="3"/>
    <n v="11"/>
    <n v="20.09"/>
  </r>
  <r>
    <n v="62"/>
    <x v="0"/>
    <x v="2"/>
    <x v="0"/>
    <x v="4"/>
    <x v="4"/>
    <n v="14"/>
    <n v="287.47000000000003"/>
  </r>
  <r>
    <n v="63"/>
    <x v="0"/>
    <x v="0"/>
    <x v="0"/>
    <x v="1"/>
    <x v="1"/>
    <n v="19"/>
    <n v="258.8"/>
  </r>
  <r>
    <n v="64"/>
    <x v="0"/>
    <x v="2"/>
    <x v="0"/>
    <x v="3"/>
    <x v="3"/>
    <n v="10"/>
    <n v="121.23"/>
  </r>
  <r>
    <n v="65"/>
    <x v="0"/>
    <x v="0"/>
    <x v="1"/>
    <x v="4"/>
    <x v="3"/>
    <n v="12"/>
    <n v="112.74"/>
  </r>
  <r>
    <n v="66"/>
    <x v="0"/>
    <x v="0"/>
    <x v="0"/>
    <x v="1"/>
    <x v="0"/>
    <n v="2"/>
    <n v="21.94"/>
  </r>
  <r>
    <n v="67"/>
    <x v="1"/>
    <x v="1"/>
    <x v="0"/>
    <x v="1"/>
    <x v="1"/>
    <n v="8"/>
    <n v="89.62"/>
  </r>
  <r>
    <n v="68"/>
    <x v="0"/>
    <x v="0"/>
    <x v="1"/>
    <x v="3"/>
    <x v="5"/>
    <n v="1"/>
    <n v="7.22"/>
  </r>
  <r>
    <n v="69"/>
    <x v="0"/>
    <x v="2"/>
    <x v="0"/>
    <x v="2"/>
    <x v="0"/>
    <n v="16"/>
    <n v="20.03"/>
  </r>
  <r>
    <n v="70"/>
    <x v="1"/>
    <x v="1"/>
    <x v="1"/>
    <x v="0"/>
    <x v="1"/>
    <n v="14"/>
    <n v="41.49"/>
  </r>
  <r>
    <n v="71"/>
    <x v="0"/>
    <x v="2"/>
    <x v="1"/>
    <x v="4"/>
    <x v="1"/>
    <n v="2"/>
    <n v="27.46"/>
  </r>
  <r>
    <n v="72"/>
    <x v="0"/>
    <x v="0"/>
    <x v="1"/>
    <x v="2"/>
    <x v="2"/>
    <n v="11"/>
    <n v="167.25"/>
  </r>
  <r>
    <n v="73"/>
    <x v="0"/>
    <x v="2"/>
    <x v="1"/>
    <x v="3"/>
    <x v="2"/>
    <n v="20"/>
    <n v="155.58000000000001"/>
  </r>
  <r>
    <n v="74"/>
    <x v="0"/>
    <x v="0"/>
    <x v="1"/>
    <x v="0"/>
    <x v="1"/>
    <n v="2"/>
    <n v="43.38"/>
  </r>
  <r>
    <n v="75"/>
    <x v="0"/>
    <x v="0"/>
    <x v="1"/>
    <x v="4"/>
    <x v="2"/>
    <n v="11"/>
    <n v="101.46"/>
  </r>
  <r>
    <n v="76"/>
    <x v="0"/>
    <x v="0"/>
    <x v="1"/>
    <x v="0"/>
    <x v="0"/>
    <n v="8"/>
    <n v="163.84"/>
  </r>
  <r>
    <n v="77"/>
    <x v="1"/>
    <x v="1"/>
    <x v="1"/>
    <x v="4"/>
    <x v="1"/>
    <n v="10"/>
    <n v="108.71"/>
  </r>
  <r>
    <n v="78"/>
    <x v="0"/>
    <x v="2"/>
    <x v="1"/>
    <x v="2"/>
    <x v="4"/>
    <n v="20"/>
    <n v="144.02000000000001"/>
  </r>
  <r>
    <n v="79"/>
    <x v="1"/>
    <x v="1"/>
    <x v="1"/>
    <x v="1"/>
    <x v="4"/>
    <n v="11"/>
    <n v="166.9"/>
  </r>
  <r>
    <n v="80"/>
    <x v="0"/>
    <x v="0"/>
    <x v="0"/>
    <x v="1"/>
    <x v="1"/>
    <n v="16"/>
    <n v="284.19"/>
  </r>
  <r>
    <n v="81"/>
    <x v="0"/>
    <x v="2"/>
    <x v="1"/>
    <x v="4"/>
    <x v="3"/>
    <n v="20"/>
    <n v="285.89999999999998"/>
  </r>
  <r>
    <n v="82"/>
    <x v="0"/>
    <x v="2"/>
    <x v="0"/>
    <x v="4"/>
    <x v="2"/>
    <n v="15"/>
    <n v="225.34"/>
  </r>
  <r>
    <n v="83"/>
    <x v="1"/>
    <x v="1"/>
    <x v="1"/>
    <x v="4"/>
    <x v="3"/>
    <n v="8"/>
    <n v="118.9"/>
  </r>
  <r>
    <n v="84"/>
    <x v="0"/>
    <x v="0"/>
    <x v="0"/>
    <x v="1"/>
    <x v="4"/>
    <n v="10"/>
    <n v="187.89"/>
  </r>
  <r>
    <n v="85"/>
    <x v="0"/>
    <x v="2"/>
    <x v="1"/>
    <x v="3"/>
    <x v="3"/>
    <n v="13"/>
    <n v="52.72"/>
  </r>
  <r>
    <n v="86"/>
    <x v="1"/>
    <x v="1"/>
    <x v="1"/>
    <x v="4"/>
    <x v="4"/>
    <n v="10"/>
    <n v="53.5"/>
  </r>
  <r>
    <n v="87"/>
    <x v="0"/>
    <x v="2"/>
    <x v="0"/>
    <x v="0"/>
    <x v="5"/>
    <n v="2"/>
    <n v="5.86"/>
  </r>
  <r>
    <n v="88"/>
    <x v="0"/>
    <x v="0"/>
    <x v="1"/>
    <x v="4"/>
    <x v="1"/>
    <n v="8"/>
    <n v="118.73"/>
  </r>
  <r>
    <n v="89"/>
    <x v="0"/>
    <x v="2"/>
    <x v="1"/>
    <x v="3"/>
    <x v="4"/>
    <n v="2"/>
    <n v="41.97"/>
  </r>
  <r>
    <n v="90"/>
    <x v="1"/>
    <x v="1"/>
    <x v="1"/>
    <x v="1"/>
    <x v="3"/>
    <n v="10"/>
    <n v="114.6"/>
  </r>
  <r>
    <n v="91"/>
    <x v="0"/>
    <x v="2"/>
    <x v="0"/>
    <x v="4"/>
    <x v="3"/>
    <n v="3"/>
    <n v="59.61"/>
  </r>
  <r>
    <n v="92"/>
    <x v="1"/>
    <x v="1"/>
    <x v="0"/>
    <x v="1"/>
    <x v="0"/>
    <n v="2"/>
    <n v="40.869999999999997"/>
  </r>
  <r>
    <n v="93"/>
    <x v="0"/>
    <x v="0"/>
    <x v="0"/>
    <x v="2"/>
    <x v="1"/>
    <n v="12"/>
    <n v="128.79"/>
  </r>
  <r>
    <n v="94"/>
    <x v="1"/>
    <x v="1"/>
    <x v="0"/>
    <x v="4"/>
    <x v="2"/>
    <n v="9"/>
    <n v="54.41"/>
  </r>
  <r>
    <n v="95"/>
    <x v="1"/>
    <x v="1"/>
    <x v="1"/>
    <x v="0"/>
    <x v="1"/>
    <n v="9"/>
    <n v="173.73"/>
  </r>
  <r>
    <n v="96"/>
    <x v="0"/>
    <x v="0"/>
    <x v="0"/>
    <x v="2"/>
    <x v="4"/>
    <n v="1"/>
    <n v="7.38"/>
  </r>
  <r>
    <n v="97"/>
    <x v="1"/>
    <x v="1"/>
    <x v="0"/>
    <x v="4"/>
    <x v="4"/>
    <n v="17"/>
    <n v="341.61"/>
  </r>
  <r>
    <n v="98"/>
    <x v="1"/>
    <x v="1"/>
    <x v="1"/>
    <x v="1"/>
    <x v="0"/>
    <n v="3"/>
    <n v="49.92"/>
  </r>
  <r>
    <n v="99"/>
    <x v="0"/>
    <x v="0"/>
    <x v="1"/>
    <x v="3"/>
    <x v="5"/>
    <n v="17"/>
    <n v="277.39999999999998"/>
  </r>
  <r>
    <n v="100"/>
    <x v="0"/>
    <x v="2"/>
    <x v="0"/>
    <x v="1"/>
    <x v="4"/>
    <n v="18"/>
    <n v="204.54"/>
  </r>
  <r>
    <n v="101"/>
    <x v="1"/>
    <x v="1"/>
    <x v="0"/>
    <x v="4"/>
    <x v="3"/>
    <n v="20"/>
    <n v="90.74"/>
  </r>
  <r>
    <n v="102"/>
    <x v="0"/>
    <x v="0"/>
    <x v="1"/>
    <x v="1"/>
    <x v="4"/>
    <n v="4"/>
    <n v="71.430000000000007"/>
  </r>
  <r>
    <n v="103"/>
    <x v="0"/>
    <x v="0"/>
    <x v="1"/>
    <x v="4"/>
    <x v="0"/>
    <n v="9"/>
    <n v="85.61"/>
  </r>
  <r>
    <n v="104"/>
    <x v="0"/>
    <x v="0"/>
    <x v="1"/>
    <x v="0"/>
    <x v="4"/>
    <n v="18"/>
    <n v="351.3"/>
  </r>
  <r>
    <n v="105"/>
    <x v="1"/>
    <x v="1"/>
    <x v="0"/>
    <x v="4"/>
    <x v="4"/>
    <n v="18"/>
    <n v="119.99"/>
  </r>
  <r>
    <n v="106"/>
    <x v="0"/>
    <x v="2"/>
    <x v="1"/>
    <x v="2"/>
    <x v="3"/>
    <n v="2"/>
    <n v="2.1800000000000002"/>
  </r>
  <r>
    <n v="107"/>
    <x v="0"/>
    <x v="0"/>
    <x v="0"/>
    <x v="3"/>
    <x v="0"/>
    <n v="6"/>
    <n v="28.89"/>
  </r>
  <r>
    <n v="108"/>
    <x v="1"/>
    <x v="1"/>
    <x v="1"/>
    <x v="3"/>
    <x v="1"/>
    <n v="15"/>
    <n v="117.33"/>
  </r>
  <r>
    <n v="109"/>
    <x v="1"/>
    <x v="1"/>
    <x v="1"/>
    <x v="4"/>
    <x v="2"/>
    <n v="9"/>
    <n v="162.75"/>
  </r>
  <r>
    <n v="110"/>
    <x v="0"/>
    <x v="0"/>
    <x v="0"/>
    <x v="3"/>
    <x v="4"/>
    <n v="13"/>
    <n v="82.21"/>
  </r>
  <r>
    <n v="111"/>
    <x v="0"/>
    <x v="2"/>
    <x v="0"/>
    <x v="2"/>
    <x v="3"/>
    <n v="9"/>
    <n v="144.16"/>
  </r>
  <r>
    <n v="112"/>
    <x v="0"/>
    <x v="0"/>
    <x v="0"/>
    <x v="2"/>
    <x v="4"/>
    <n v="9"/>
    <n v="96.69"/>
  </r>
  <r>
    <n v="113"/>
    <x v="0"/>
    <x v="2"/>
    <x v="0"/>
    <x v="2"/>
    <x v="4"/>
    <n v="3"/>
    <n v="67.06"/>
  </r>
  <r>
    <n v="114"/>
    <x v="0"/>
    <x v="2"/>
    <x v="0"/>
    <x v="3"/>
    <x v="2"/>
    <n v="15"/>
    <n v="150.55000000000001"/>
  </r>
  <r>
    <n v="115"/>
    <x v="0"/>
    <x v="0"/>
    <x v="1"/>
    <x v="4"/>
    <x v="0"/>
    <n v="11"/>
    <n v="56.14"/>
  </r>
  <r>
    <n v="116"/>
    <x v="0"/>
    <x v="0"/>
    <x v="1"/>
    <x v="2"/>
    <x v="0"/>
    <n v="19"/>
    <n v="142.51"/>
  </r>
  <r>
    <n v="117"/>
    <x v="0"/>
    <x v="2"/>
    <x v="0"/>
    <x v="0"/>
    <x v="1"/>
    <n v="18"/>
    <n v="243.64"/>
  </r>
  <r>
    <n v="118"/>
    <x v="1"/>
    <x v="1"/>
    <x v="0"/>
    <x v="3"/>
    <x v="2"/>
    <n v="16"/>
    <n v="92.79"/>
  </r>
  <r>
    <n v="119"/>
    <x v="0"/>
    <x v="2"/>
    <x v="1"/>
    <x v="2"/>
    <x v="1"/>
    <n v="7"/>
    <n v="131.9"/>
  </r>
  <r>
    <n v="120"/>
    <x v="0"/>
    <x v="0"/>
    <x v="1"/>
    <x v="4"/>
    <x v="4"/>
    <n v="9"/>
    <n v="44.68"/>
  </r>
  <r>
    <n v="121"/>
    <x v="1"/>
    <x v="1"/>
    <x v="0"/>
    <x v="1"/>
    <x v="0"/>
    <n v="4"/>
    <n v="7.19"/>
  </r>
  <r>
    <n v="122"/>
    <x v="0"/>
    <x v="0"/>
    <x v="1"/>
    <x v="3"/>
    <x v="3"/>
    <n v="12"/>
    <n v="41.09"/>
  </r>
  <r>
    <n v="123"/>
    <x v="0"/>
    <x v="2"/>
    <x v="1"/>
    <x v="0"/>
    <x v="0"/>
    <n v="11"/>
    <n v="39.19"/>
  </r>
  <r>
    <n v="124"/>
    <x v="0"/>
    <x v="0"/>
    <x v="0"/>
    <x v="3"/>
    <x v="3"/>
    <n v="4"/>
    <n v="63.81"/>
  </r>
  <r>
    <n v="125"/>
    <x v="0"/>
    <x v="0"/>
    <x v="0"/>
    <x v="0"/>
    <x v="3"/>
    <n v="6"/>
    <n v="43.91"/>
  </r>
  <r>
    <n v="126"/>
    <x v="0"/>
    <x v="0"/>
    <x v="0"/>
    <x v="3"/>
    <x v="2"/>
    <n v="10"/>
    <n v="217.96"/>
  </r>
  <r>
    <n v="127"/>
    <x v="0"/>
    <x v="0"/>
    <x v="1"/>
    <x v="2"/>
    <x v="4"/>
    <n v="10"/>
    <n v="11.66"/>
  </r>
  <r>
    <n v="128"/>
    <x v="0"/>
    <x v="2"/>
    <x v="0"/>
    <x v="1"/>
    <x v="2"/>
    <n v="5"/>
    <n v="14.87"/>
  </r>
  <r>
    <n v="129"/>
    <x v="0"/>
    <x v="2"/>
    <x v="0"/>
    <x v="0"/>
    <x v="4"/>
    <n v="4"/>
    <n v="66.430000000000007"/>
  </r>
  <r>
    <n v="130"/>
    <x v="1"/>
    <x v="1"/>
    <x v="0"/>
    <x v="0"/>
    <x v="3"/>
    <n v="16"/>
    <n v="225.64"/>
  </r>
  <r>
    <n v="131"/>
    <x v="0"/>
    <x v="0"/>
    <x v="1"/>
    <x v="0"/>
    <x v="0"/>
    <n v="19"/>
    <n v="125.44"/>
  </r>
  <r>
    <n v="132"/>
    <x v="0"/>
    <x v="2"/>
    <x v="1"/>
    <x v="4"/>
    <x v="3"/>
    <n v="17"/>
    <n v="218.46"/>
  </r>
  <r>
    <n v="133"/>
    <x v="0"/>
    <x v="2"/>
    <x v="1"/>
    <x v="2"/>
    <x v="2"/>
    <n v="14"/>
    <n v="258.41000000000003"/>
  </r>
  <r>
    <n v="134"/>
    <x v="0"/>
    <x v="0"/>
    <x v="0"/>
    <x v="2"/>
    <x v="4"/>
    <n v="11"/>
    <n v="203.03"/>
  </r>
  <r>
    <n v="135"/>
    <x v="0"/>
    <x v="0"/>
    <x v="0"/>
    <x v="1"/>
    <x v="4"/>
    <n v="19"/>
    <n v="418.39"/>
  </r>
  <r>
    <n v="136"/>
    <x v="1"/>
    <x v="1"/>
    <x v="1"/>
    <x v="2"/>
    <x v="4"/>
    <n v="1"/>
    <n v="5.25"/>
  </r>
  <r>
    <n v="137"/>
    <x v="1"/>
    <x v="1"/>
    <x v="0"/>
    <x v="2"/>
    <x v="3"/>
    <n v="2"/>
    <n v="38.630000000000003"/>
  </r>
  <r>
    <n v="138"/>
    <x v="1"/>
    <x v="1"/>
    <x v="0"/>
    <x v="1"/>
    <x v="3"/>
    <n v="18"/>
    <n v="89.75"/>
  </r>
  <r>
    <n v="139"/>
    <x v="0"/>
    <x v="2"/>
    <x v="0"/>
    <x v="0"/>
    <x v="2"/>
    <n v="14"/>
    <n v="73.25"/>
  </r>
  <r>
    <n v="140"/>
    <x v="1"/>
    <x v="1"/>
    <x v="0"/>
    <x v="4"/>
    <x v="0"/>
    <n v="13"/>
    <n v="135.07"/>
  </r>
  <r>
    <n v="141"/>
    <x v="0"/>
    <x v="2"/>
    <x v="1"/>
    <x v="1"/>
    <x v="2"/>
    <n v="6"/>
    <n v="22.08"/>
  </r>
  <r>
    <n v="142"/>
    <x v="0"/>
    <x v="0"/>
    <x v="0"/>
    <x v="1"/>
    <x v="3"/>
    <n v="7"/>
    <n v="109.2"/>
  </r>
  <r>
    <n v="143"/>
    <x v="0"/>
    <x v="0"/>
    <x v="0"/>
    <x v="0"/>
    <x v="0"/>
    <n v="7"/>
    <n v="125.01"/>
  </r>
  <r>
    <n v="144"/>
    <x v="0"/>
    <x v="2"/>
    <x v="0"/>
    <x v="0"/>
    <x v="4"/>
    <n v="16"/>
    <n v="166.41"/>
  </r>
  <r>
    <n v="145"/>
    <x v="1"/>
    <x v="1"/>
    <x v="1"/>
    <x v="0"/>
    <x v="2"/>
    <n v="2"/>
    <n v="34.15"/>
  </r>
  <r>
    <n v="146"/>
    <x v="0"/>
    <x v="0"/>
    <x v="0"/>
    <x v="2"/>
    <x v="1"/>
    <n v="20"/>
    <n v="244.39"/>
  </r>
  <r>
    <n v="147"/>
    <x v="0"/>
    <x v="0"/>
    <x v="1"/>
    <x v="1"/>
    <x v="4"/>
    <n v="12"/>
    <n v="64.33"/>
  </r>
  <r>
    <n v="148"/>
    <x v="0"/>
    <x v="2"/>
    <x v="0"/>
    <x v="1"/>
    <x v="3"/>
    <n v="9"/>
    <n v="21.86"/>
  </r>
  <r>
    <n v="149"/>
    <x v="0"/>
    <x v="0"/>
    <x v="0"/>
    <x v="0"/>
    <x v="0"/>
    <n v="19"/>
    <n v="265.70999999999998"/>
  </r>
  <r>
    <n v="150"/>
    <x v="0"/>
    <x v="0"/>
    <x v="1"/>
    <x v="1"/>
    <x v="4"/>
    <n v="14"/>
    <n v="87.33"/>
  </r>
  <r>
    <n v="151"/>
    <x v="0"/>
    <x v="2"/>
    <x v="1"/>
    <x v="0"/>
    <x v="3"/>
    <n v="14"/>
    <n v="300.5"/>
  </r>
  <r>
    <n v="152"/>
    <x v="0"/>
    <x v="2"/>
    <x v="1"/>
    <x v="4"/>
    <x v="3"/>
    <n v="10"/>
    <n v="212.82"/>
  </r>
  <r>
    <n v="153"/>
    <x v="0"/>
    <x v="2"/>
    <x v="1"/>
    <x v="1"/>
    <x v="0"/>
    <n v="19"/>
    <n v="113.03"/>
  </r>
  <r>
    <n v="154"/>
    <x v="1"/>
    <x v="1"/>
    <x v="1"/>
    <x v="3"/>
    <x v="1"/>
    <n v="1"/>
    <n v="18.41"/>
  </r>
  <r>
    <n v="155"/>
    <x v="0"/>
    <x v="2"/>
    <x v="0"/>
    <x v="2"/>
    <x v="1"/>
    <n v="11"/>
    <n v="133.94"/>
  </r>
  <r>
    <n v="156"/>
    <x v="0"/>
    <x v="2"/>
    <x v="0"/>
    <x v="4"/>
    <x v="1"/>
    <n v="20"/>
    <n v="114.06"/>
  </r>
  <r>
    <n v="157"/>
    <x v="0"/>
    <x v="0"/>
    <x v="1"/>
    <x v="0"/>
    <x v="4"/>
    <n v="20"/>
    <n v="402.11"/>
  </r>
  <r>
    <n v="158"/>
    <x v="0"/>
    <x v="0"/>
    <x v="1"/>
    <x v="0"/>
    <x v="2"/>
    <n v="1"/>
    <n v="20.37"/>
  </r>
  <r>
    <n v="159"/>
    <x v="0"/>
    <x v="0"/>
    <x v="1"/>
    <x v="1"/>
    <x v="3"/>
    <n v="11"/>
    <n v="233.28"/>
  </r>
  <r>
    <n v="160"/>
    <x v="0"/>
    <x v="2"/>
    <x v="0"/>
    <x v="4"/>
    <x v="3"/>
    <n v="2"/>
    <n v="19.920000000000002"/>
  </r>
  <r>
    <n v="161"/>
    <x v="0"/>
    <x v="2"/>
    <x v="0"/>
    <x v="4"/>
    <x v="1"/>
    <n v="19"/>
    <n v="425.1"/>
  </r>
  <r>
    <n v="162"/>
    <x v="0"/>
    <x v="0"/>
    <x v="0"/>
    <x v="0"/>
    <x v="2"/>
    <n v="4"/>
    <n v="64.459999999999994"/>
  </r>
  <r>
    <n v="163"/>
    <x v="1"/>
    <x v="1"/>
    <x v="1"/>
    <x v="4"/>
    <x v="2"/>
    <n v="11"/>
    <n v="207.27"/>
  </r>
  <r>
    <n v="164"/>
    <x v="1"/>
    <x v="1"/>
    <x v="1"/>
    <x v="1"/>
    <x v="0"/>
    <n v="8"/>
    <n v="177.71"/>
  </r>
  <r>
    <n v="165"/>
    <x v="0"/>
    <x v="2"/>
    <x v="0"/>
    <x v="3"/>
    <x v="1"/>
    <n v="18"/>
    <n v="229.58"/>
  </r>
  <r>
    <n v="166"/>
    <x v="1"/>
    <x v="1"/>
    <x v="1"/>
    <x v="3"/>
    <x v="0"/>
    <n v="18"/>
    <n v="272.91000000000003"/>
  </r>
  <r>
    <n v="167"/>
    <x v="1"/>
    <x v="1"/>
    <x v="1"/>
    <x v="2"/>
    <x v="1"/>
    <n v="10"/>
    <n v="70.19"/>
  </r>
  <r>
    <n v="168"/>
    <x v="0"/>
    <x v="2"/>
    <x v="0"/>
    <x v="3"/>
    <x v="4"/>
    <n v="12"/>
    <n v="123.65"/>
  </r>
  <r>
    <n v="169"/>
    <x v="0"/>
    <x v="0"/>
    <x v="0"/>
    <x v="4"/>
    <x v="3"/>
    <n v="4"/>
    <n v="77"/>
  </r>
  <r>
    <n v="170"/>
    <x v="1"/>
    <x v="1"/>
    <x v="1"/>
    <x v="3"/>
    <x v="2"/>
    <n v="12"/>
    <n v="68.819999999999993"/>
  </r>
  <r>
    <n v="171"/>
    <x v="0"/>
    <x v="0"/>
    <x v="0"/>
    <x v="4"/>
    <x v="2"/>
    <n v="5"/>
    <n v="61.69"/>
  </r>
  <r>
    <n v="172"/>
    <x v="1"/>
    <x v="1"/>
    <x v="1"/>
    <x v="0"/>
    <x v="2"/>
    <n v="15"/>
    <n v="237.86"/>
  </r>
  <r>
    <n v="173"/>
    <x v="0"/>
    <x v="0"/>
    <x v="0"/>
    <x v="2"/>
    <x v="2"/>
    <n v="20"/>
    <n v="317.36"/>
  </r>
  <r>
    <n v="174"/>
    <x v="1"/>
    <x v="1"/>
    <x v="0"/>
    <x v="0"/>
    <x v="1"/>
    <n v="3"/>
    <n v="16.34"/>
  </r>
  <r>
    <n v="175"/>
    <x v="0"/>
    <x v="0"/>
    <x v="1"/>
    <x v="3"/>
    <x v="3"/>
    <n v="15"/>
    <n v="277.99"/>
  </r>
  <r>
    <n v="176"/>
    <x v="1"/>
    <x v="1"/>
    <x v="0"/>
    <x v="0"/>
    <x v="2"/>
    <n v="1"/>
    <n v="15.31"/>
  </r>
  <r>
    <n v="177"/>
    <x v="1"/>
    <x v="1"/>
    <x v="0"/>
    <x v="4"/>
    <x v="2"/>
    <n v="10"/>
    <n v="12.95"/>
  </r>
  <r>
    <n v="178"/>
    <x v="0"/>
    <x v="2"/>
    <x v="0"/>
    <x v="1"/>
    <x v="0"/>
    <n v="10"/>
    <n v="126.8"/>
  </r>
  <r>
    <n v="179"/>
    <x v="0"/>
    <x v="0"/>
    <x v="0"/>
    <x v="1"/>
    <x v="2"/>
    <n v="3"/>
    <n v="14.77"/>
  </r>
  <r>
    <n v="180"/>
    <x v="1"/>
    <x v="1"/>
    <x v="0"/>
    <x v="4"/>
    <x v="3"/>
    <n v="4"/>
    <n v="29.02"/>
  </r>
  <r>
    <n v="181"/>
    <x v="1"/>
    <x v="1"/>
    <x v="0"/>
    <x v="1"/>
    <x v="2"/>
    <n v="17"/>
    <n v="275.20999999999998"/>
  </r>
  <r>
    <n v="182"/>
    <x v="0"/>
    <x v="0"/>
    <x v="1"/>
    <x v="3"/>
    <x v="1"/>
    <n v="8"/>
    <n v="26.88"/>
  </r>
  <r>
    <n v="183"/>
    <x v="0"/>
    <x v="2"/>
    <x v="1"/>
    <x v="1"/>
    <x v="1"/>
    <n v="15"/>
    <n v="70.14"/>
  </r>
  <r>
    <n v="184"/>
    <x v="0"/>
    <x v="0"/>
    <x v="0"/>
    <x v="0"/>
    <x v="2"/>
    <n v="14"/>
    <n v="280.13"/>
  </r>
  <r>
    <n v="185"/>
    <x v="0"/>
    <x v="2"/>
    <x v="0"/>
    <x v="1"/>
    <x v="4"/>
    <n v="16"/>
    <n v="327.33"/>
  </r>
  <r>
    <n v="186"/>
    <x v="1"/>
    <x v="1"/>
    <x v="0"/>
    <x v="1"/>
    <x v="4"/>
    <n v="3"/>
    <n v="38.49"/>
  </r>
  <r>
    <n v="187"/>
    <x v="0"/>
    <x v="0"/>
    <x v="0"/>
    <x v="1"/>
    <x v="2"/>
    <n v="15"/>
    <n v="156.01"/>
  </r>
  <r>
    <n v="188"/>
    <x v="0"/>
    <x v="2"/>
    <x v="1"/>
    <x v="1"/>
    <x v="3"/>
    <n v="5"/>
    <n v="30.6"/>
  </r>
  <r>
    <n v="189"/>
    <x v="0"/>
    <x v="2"/>
    <x v="0"/>
    <x v="0"/>
    <x v="3"/>
    <n v="3"/>
    <n v="47.73"/>
  </r>
  <r>
    <n v="190"/>
    <x v="1"/>
    <x v="1"/>
    <x v="0"/>
    <x v="0"/>
    <x v="2"/>
    <n v="11"/>
    <n v="113.7"/>
  </r>
  <r>
    <n v="191"/>
    <x v="0"/>
    <x v="0"/>
    <x v="0"/>
    <x v="4"/>
    <x v="1"/>
    <n v="13"/>
    <n v="49.66"/>
  </r>
  <r>
    <n v="192"/>
    <x v="0"/>
    <x v="0"/>
    <x v="0"/>
    <x v="3"/>
    <x v="1"/>
    <n v="10"/>
    <n v="58.85"/>
  </r>
  <r>
    <n v="193"/>
    <x v="1"/>
    <x v="1"/>
    <x v="1"/>
    <x v="2"/>
    <x v="3"/>
    <n v="3"/>
    <n v="7.86"/>
  </r>
  <r>
    <n v="194"/>
    <x v="0"/>
    <x v="2"/>
    <x v="0"/>
    <x v="0"/>
    <x v="4"/>
    <n v="4"/>
    <n v="40.96"/>
  </r>
  <r>
    <n v="195"/>
    <x v="1"/>
    <x v="1"/>
    <x v="0"/>
    <x v="1"/>
    <x v="3"/>
    <n v="4"/>
    <n v="11.17"/>
  </r>
  <r>
    <n v="196"/>
    <x v="0"/>
    <x v="0"/>
    <x v="1"/>
    <x v="2"/>
    <x v="2"/>
    <n v="6"/>
    <n v="57.65"/>
  </r>
  <r>
    <n v="197"/>
    <x v="0"/>
    <x v="0"/>
    <x v="0"/>
    <x v="1"/>
    <x v="1"/>
    <n v="15"/>
    <n v="312.81"/>
  </r>
  <r>
    <n v="198"/>
    <x v="0"/>
    <x v="2"/>
    <x v="0"/>
    <x v="4"/>
    <x v="0"/>
    <n v="18"/>
    <n v="130.97"/>
  </r>
  <r>
    <n v="199"/>
    <x v="1"/>
    <x v="1"/>
    <x v="0"/>
    <x v="1"/>
    <x v="2"/>
    <n v="16"/>
    <n v="168.46"/>
  </r>
  <r>
    <n v="200"/>
    <x v="0"/>
    <x v="2"/>
    <x v="1"/>
    <x v="2"/>
    <x v="2"/>
    <n v="6"/>
    <n v="73.12"/>
  </r>
  <r>
    <n v="201"/>
    <x v="0"/>
    <x v="0"/>
    <x v="1"/>
    <x v="3"/>
    <x v="0"/>
    <n v="13"/>
    <n v="115.45"/>
  </r>
  <r>
    <n v="202"/>
    <x v="0"/>
    <x v="0"/>
    <x v="0"/>
    <x v="3"/>
    <x v="3"/>
    <n v="8"/>
    <n v="93.3"/>
  </r>
  <r>
    <n v="203"/>
    <x v="1"/>
    <x v="1"/>
    <x v="0"/>
    <x v="0"/>
    <x v="2"/>
    <n v="20"/>
    <n v="64.2"/>
  </r>
  <r>
    <n v="204"/>
    <x v="0"/>
    <x v="2"/>
    <x v="0"/>
    <x v="3"/>
    <x v="3"/>
    <n v="10"/>
    <n v="176.55"/>
  </r>
  <r>
    <n v="205"/>
    <x v="0"/>
    <x v="0"/>
    <x v="1"/>
    <x v="4"/>
    <x v="0"/>
    <n v="5"/>
    <n v="107.32"/>
  </r>
  <r>
    <n v="206"/>
    <x v="0"/>
    <x v="0"/>
    <x v="1"/>
    <x v="0"/>
    <x v="3"/>
    <n v="7"/>
    <n v="80.37"/>
  </r>
  <r>
    <n v="207"/>
    <x v="1"/>
    <x v="1"/>
    <x v="1"/>
    <x v="3"/>
    <x v="1"/>
    <n v="18"/>
    <n v="162.94"/>
  </r>
  <r>
    <n v="208"/>
    <x v="0"/>
    <x v="0"/>
    <x v="0"/>
    <x v="0"/>
    <x v="2"/>
    <n v="20"/>
    <n v="144.66"/>
  </r>
  <r>
    <n v="209"/>
    <x v="1"/>
    <x v="1"/>
    <x v="1"/>
    <x v="4"/>
    <x v="0"/>
    <n v="7"/>
    <n v="65.239999999999995"/>
  </r>
  <r>
    <n v="210"/>
    <x v="1"/>
    <x v="1"/>
    <x v="0"/>
    <x v="1"/>
    <x v="4"/>
    <n v="18"/>
    <n v="133.09"/>
  </r>
  <r>
    <n v="211"/>
    <x v="0"/>
    <x v="2"/>
    <x v="0"/>
    <x v="1"/>
    <x v="1"/>
    <n v="15"/>
    <n v="259.69"/>
  </r>
  <r>
    <n v="212"/>
    <x v="0"/>
    <x v="2"/>
    <x v="0"/>
    <x v="3"/>
    <x v="1"/>
    <n v="17"/>
    <n v="227.38"/>
  </r>
  <r>
    <n v="213"/>
    <x v="0"/>
    <x v="0"/>
    <x v="1"/>
    <x v="4"/>
    <x v="2"/>
    <n v="16"/>
    <n v="300.45999999999998"/>
  </r>
  <r>
    <n v="214"/>
    <x v="0"/>
    <x v="0"/>
    <x v="1"/>
    <x v="1"/>
    <x v="3"/>
    <n v="1"/>
    <n v="18.82"/>
  </r>
  <r>
    <n v="215"/>
    <x v="1"/>
    <x v="1"/>
    <x v="0"/>
    <x v="1"/>
    <x v="4"/>
    <n v="19"/>
    <n v="136.21"/>
  </r>
  <r>
    <n v="216"/>
    <x v="0"/>
    <x v="0"/>
    <x v="0"/>
    <x v="0"/>
    <x v="2"/>
    <n v="2"/>
    <n v="39.270000000000003"/>
  </r>
  <r>
    <n v="217"/>
    <x v="0"/>
    <x v="0"/>
    <x v="1"/>
    <x v="4"/>
    <x v="1"/>
    <n v="16"/>
    <n v="121.38"/>
  </r>
  <r>
    <n v="218"/>
    <x v="0"/>
    <x v="2"/>
    <x v="0"/>
    <x v="3"/>
    <x v="3"/>
    <n v="9"/>
    <n v="192.21"/>
  </r>
  <r>
    <n v="219"/>
    <x v="1"/>
    <x v="1"/>
    <x v="1"/>
    <x v="0"/>
    <x v="1"/>
    <n v="16"/>
    <n v="51.53"/>
  </r>
  <r>
    <n v="220"/>
    <x v="0"/>
    <x v="0"/>
    <x v="0"/>
    <x v="3"/>
    <x v="2"/>
    <n v="13"/>
    <n v="66.77"/>
  </r>
  <r>
    <n v="221"/>
    <x v="1"/>
    <x v="1"/>
    <x v="1"/>
    <x v="4"/>
    <x v="0"/>
    <n v="17"/>
    <n v="106.59"/>
  </r>
  <r>
    <n v="222"/>
    <x v="1"/>
    <x v="1"/>
    <x v="0"/>
    <x v="4"/>
    <x v="0"/>
    <n v="19"/>
    <n v="356.79"/>
  </r>
  <r>
    <n v="223"/>
    <x v="0"/>
    <x v="0"/>
    <x v="0"/>
    <x v="0"/>
    <x v="1"/>
    <n v="5"/>
    <n v="77.41"/>
  </r>
  <r>
    <n v="224"/>
    <x v="0"/>
    <x v="2"/>
    <x v="0"/>
    <x v="4"/>
    <x v="0"/>
    <n v="14"/>
    <n v="118.49"/>
  </r>
  <r>
    <n v="225"/>
    <x v="0"/>
    <x v="2"/>
    <x v="0"/>
    <x v="2"/>
    <x v="1"/>
    <n v="19"/>
    <n v="103.89"/>
  </r>
  <r>
    <n v="226"/>
    <x v="0"/>
    <x v="2"/>
    <x v="0"/>
    <x v="0"/>
    <x v="2"/>
    <n v="16"/>
    <n v="301.64999999999998"/>
  </r>
  <r>
    <n v="227"/>
    <x v="0"/>
    <x v="0"/>
    <x v="0"/>
    <x v="0"/>
    <x v="4"/>
    <n v="3"/>
    <n v="41.06"/>
  </r>
  <r>
    <n v="228"/>
    <x v="0"/>
    <x v="0"/>
    <x v="1"/>
    <x v="2"/>
    <x v="0"/>
    <n v="1"/>
    <n v="10.26"/>
  </r>
  <r>
    <n v="229"/>
    <x v="0"/>
    <x v="0"/>
    <x v="1"/>
    <x v="1"/>
    <x v="2"/>
    <n v="14"/>
    <n v="38.65"/>
  </r>
  <r>
    <n v="230"/>
    <x v="0"/>
    <x v="0"/>
    <x v="1"/>
    <x v="0"/>
    <x v="3"/>
    <n v="12"/>
    <n v="193.63"/>
  </r>
  <r>
    <n v="231"/>
    <x v="0"/>
    <x v="0"/>
    <x v="0"/>
    <x v="0"/>
    <x v="3"/>
    <n v="1"/>
    <n v="11.13"/>
  </r>
  <r>
    <n v="232"/>
    <x v="0"/>
    <x v="2"/>
    <x v="1"/>
    <x v="0"/>
    <x v="3"/>
    <n v="4"/>
    <n v="4.58"/>
  </r>
  <r>
    <n v="233"/>
    <x v="0"/>
    <x v="0"/>
    <x v="1"/>
    <x v="0"/>
    <x v="0"/>
    <n v="6"/>
    <n v="18.170000000000002"/>
  </r>
  <r>
    <n v="234"/>
    <x v="0"/>
    <x v="2"/>
    <x v="0"/>
    <x v="1"/>
    <x v="2"/>
    <n v="5"/>
    <n v="24.77"/>
  </r>
  <r>
    <n v="235"/>
    <x v="0"/>
    <x v="0"/>
    <x v="1"/>
    <x v="2"/>
    <x v="3"/>
    <n v="2"/>
    <n v="27.35"/>
  </r>
  <r>
    <n v="236"/>
    <x v="0"/>
    <x v="2"/>
    <x v="0"/>
    <x v="2"/>
    <x v="3"/>
    <n v="16"/>
    <n v="197.91"/>
  </r>
  <r>
    <n v="237"/>
    <x v="1"/>
    <x v="1"/>
    <x v="1"/>
    <x v="3"/>
    <x v="3"/>
    <n v="8"/>
    <n v="154.94"/>
  </r>
  <r>
    <n v="238"/>
    <x v="0"/>
    <x v="0"/>
    <x v="0"/>
    <x v="0"/>
    <x v="4"/>
    <n v="1"/>
    <n v="8.1300000000000008"/>
  </r>
  <r>
    <n v="239"/>
    <x v="0"/>
    <x v="2"/>
    <x v="0"/>
    <x v="0"/>
    <x v="4"/>
    <n v="15"/>
    <n v="318.58999999999997"/>
  </r>
  <r>
    <n v="240"/>
    <x v="1"/>
    <x v="1"/>
    <x v="1"/>
    <x v="0"/>
    <x v="2"/>
    <n v="16"/>
    <n v="184.38"/>
  </r>
  <r>
    <n v="241"/>
    <x v="1"/>
    <x v="1"/>
    <x v="1"/>
    <x v="0"/>
    <x v="3"/>
    <n v="10"/>
    <n v="38.630000000000003"/>
  </r>
  <r>
    <n v="242"/>
    <x v="0"/>
    <x v="0"/>
    <x v="1"/>
    <x v="0"/>
    <x v="1"/>
    <n v="13"/>
    <n v="94.17"/>
  </r>
  <r>
    <n v="243"/>
    <x v="0"/>
    <x v="2"/>
    <x v="1"/>
    <x v="0"/>
    <x v="0"/>
    <n v="6"/>
    <n v="65.61"/>
  </r>
  <r>
    <n v="244"/>
    <x v="1"/>
    <x v="1"/>
    <x v="1"/>
    <x v="2"/>
    <x v="0"/>
    <n v="15"/>
    <n v="200.14"/>
  </r>
  <r>
    <n v="245"/>
    <x v="0"/>
    <x v="2"/>
    <x v="1"/>
    <x v="0"/>
    <x v="3"/>
    <n v="16"/>
    <n v="266.04000000000002"/>
  </r>
  <r>
    <n v="246"/>
    <x v="0"/>
    <x v="0"/>
    <x v="0"/>
    <x v="1"/>
    <x v="4"/>
    <n v="9"/>
    <n v="176.23"/>
  </r>
  <r>
    <n v="247"/>
    <x v="0"/>
    <x v="2"/>
    <x v="1"/>
    <x v="3"/>
    <x v="4"/>
    <n v="3"/>
    <n v="28.28"/>
  </r>
  <r>
    <n v="248"/>
    <x v="0"/>
    <x v="0"/>
    <x v="0"/>
    <x v="2"/>
    <x v="2"/>
    <n v="17"/>
    <n v="246.11"/>
  </r>
  <r>
    <n v="249"/>
    <x v="0"/>
    <x v="0"/>
    <x v="1"/>
    <x v="3"/>
    <x v="0"/>
    <n v="19"/>
    <n v="195.37"/>
  </r>
  <r>
    <n v="250"/>
    <x v="1"/>
    <x v="1"/>
    <x v="0"/>
    <x v="2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34C6-A87D-41E9-AAE8-6217BC7A16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EE13C-B4D4-447A-BEB0-EB70A144AF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7E998-2197-4BBC-BD43-07DC8CA645BD}" name="SalesData" displayName="SalesData" ref="A1:H254" totalsRowShown="0">
  <autoFilter ref="A1:H254" xr:uid="{AFF7E998-2197-4BBC-BD43-07DC8CA645BD}"/>
  <tableColumns count="8">
    <tableColumn id="1" xr3:uid="{21A4D03E-A538-41E4-95BA-D9760E83AF68}" name="sale_id"/>
    <tableColumn id="2" xr3:uid="{703C7F9B-31DD-4F15-A3CA-26525BBA0E08}" name="branch"/>
    <tableColumn id="3" xr3:uid="{15EFF304-BA97-43DD-A02F-7CF9A6A6AF6D}" name="city"/>
    <tableColumn id="4" xr3:uid="{CACFA96D-EDE7-454A-B07F-D4083A85238C}" name="customer_type"/>
    <tableColumn id="5" xr3:uid="{0828914B-582E-4C02-9182-E645BF6042C2}" name="product_name"/>
    <tableColumn id="6" xr3:uid="{BEDE3707-A708-4D51-AB30-BA7B75AC5B70}" name="product_category"/>
    <tableColumn id="7" xr3:uid="{312F3417-4D6A-491F-A228-32EEA58030EE}" name="quantity"/>
    <tableColumn id="8" xr3:uid="{D3893E16-96AD-45E5-9639-39E6FA2FF084}" name="total_pric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364A41-A516-4BCE-AAD3-F906C09BA09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197aea7-1bde-4642-846f-0e68a58935d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O254"/>
  <sheetViews>
    <sheetView zoomScaleNormal="100" workbookViewId="0">
      <selection activeCell="I26" sqref="I26"/>
    </sheetView>
  </sheetViews>
  <sheetFormatPr defaultRowHeight="14.4" x14ac:dyDescent="0.3"/>
  <cols>
    <col min="1" max="1" width="8.77734375" customWidth="1"/>
    <col min="2" max="2" width="8.6640625" customWidth="1"/>
    <col min="3" max="3" width="11.33203125" bestFit="1" customWidth="1"/>
    <col min="4" max="4" width="15.21875" customWidth="1"/>
    <col min="5" max="5" width="14.88671875" customWidth="1"/>
    <col min="6" max="6" width="17.33203125" customWidth="1"/>
    <col min="7" max="7" width="10.77734375" customWidth="1"/>
    <col min="8" max="8" width="11.88671875" customWidth="1"/>
    <col min="10" max="10" width="8.88671875" customWidth="1"/>
    <col min="11" max="11" width="18.21875" customWidth="1"/>
    <col min="12" max="12" width="22.5546875" customWidth="1"/>
    <col min="13" max="13" width="12.109375" customWidth="1"/>
    <col min="14" max="14" width="16.88671875" customWidth="1"/>
    <col min="15" max="15" width="22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f>COUNTA(SalesData[sale_id])</f>
        <v>253</v>
      </c>
      <c r="J1">
        <f>COLUMNS(SalesData[])</f>
        <v>8</v>
      </c>
      <c r="L1" t="s">
        <v>25</v>
      </c>
    </row>
    <row r="2" spans="1:15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L2" t="s">
        <v>0</v>
      </c>
      <c r="M2">
        <f>COUNTBLANK(SalesData[sale_id])</f>
        <v>0</v>
      </c>
    </row>
    <row r="3" spans="1:15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L3" t="s">
        <v>1</v>
      </c>
      <c r="M3">
        <f>COUNTBLANK(SalesData[branch])</f>
        <v>0</v>
      </c>
    </row>
    <row r="4" spans="1:15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L4" t="s">
        <v>2</v>
      </c>
      <c r="M4">
        <f>COUNTBLANK(SalesData[city])</f>
        <v>0</v>
      </c>
    </row>
    <row r="5" spans="1:15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L5" t="s">
        <v>3</v>
      </c>
      <c r="M5">
        <f>COUNTBLANK(SalesData[customer_type])</f>
        <v>0</v>
      </c>
    </row>
    <row r="6" spans="1:15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L6" t="s">
        <v>4</v>
      </c>
      <c r="M6">
        <f>COUNTBLANK(SalesData[product_name])</f>
        <v>0</v>
      </c>
    </row>
    <row r="7" spans="1:15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L7" t="s">
        <v>5</v>
      </c>
      <c r="M7">
        <f>COUNTBLANK(SalesData[product_category])</f>
        <v>0</v>
      </c>
    </row>
    <row r="8" spans="1:15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L8" t="s">
        <v>6</v>
      </c>
      <c r="M8">
        <f>COUNTBLANK(SalesData[quantity])</f>
        <v>0</v>
      </c>
    </row>
    <row r="9" spans="1:15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L9" t="s">
        <v>7</v>
      </c>
      <c r="M9">
        <f>COUNTBLANK(SalesData[total_price])</f>
        <v>0</v>
      </c>
    </row>
    <row r="10" spans="1:15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15" ht="15" thickBot="1" x14ac:dyDescent="0.35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15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  <c r="K12" s="3" t="s">
        <v>6</v>
      </c>
      <c r="L12" s="3"/>
      <c r="N12" s="3" t="s">
        <v>7</v>
      </c>
      <c r="O12" s="3"/>
    </row>
    <row r="13" spans="1:15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  <c r="K13" s="1"/>
      <c r="L13" s="1"/>
      <c r="N13" s="1"/>
      <c r="O13" s="1"/>
    </row>
    <row r="14" spans="1:15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  <c r="K14" s="1" t="s">
        <v>28</v>
      </c>
      <c r="L14" s="1">
        <v>10.612648221343873</v>
      </c>
      <c r="N14" s="1" t="s">
        <v>28</v>
      </c>
      <c r="O14" s="1">
        <v>123.76592885375493</v>
      </c>
    </row>
    <row r="15" spans="1:15" x14ac:dyDescent="0.3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  <c r="K15" s="1" t="s">
        <v>29</v>
      </c>
      <c r="L15" s="1">
        <v>0.37592639249842802</v>
      </c>
      <c r="N15" s="1" t="s">
        <v>29</v>
      </c>
      <c r="O15" s="1">
        <v>6.4813252920249784</v>
      </c>
    </row>
    <row r="16" spans="1:15" x14ac:dyDescent="0.3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  <c r="K16" s="1" t="s">
        <v>30</v>
      </c>
      <c r="L16" s="1">
        <v>11</v>
      </c>
      <c r="N16" s="1" t="s">
        <v>30</v>
      </c>
      <c r="O16" s="1">
        <v>94.17</v>
      </c>
    </row>
    <row r="17" spans="1:15" x14ac:dyDescent="0.3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  <c r="K17" s="1" t="s">
        <v>31</v>
      </c>
      <c r="L17" s="1">
        <v>2</v>
      </c>
      <c r="N17" s="1" t="s">
        <v>31</v>
      </c>
      <c r="O17" s="1">
        <v>14.08</v>
      </c>
    </row>
    <row r="18" spans="1:15" x14ac:dyDescent="0.3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  <c r="K18" s="1" t="s">
        <v>32</v>
      </c>
      <c r="L18" s="1">
        <v>5.9794753199550197</v>
      </c>
      <c r="N18" s="1" t="s">
        <v>32</v>
      </c>
      <c r="O18" s="1">
        <v>103.0917897695243</v>
      </c>
    </row>
    <row r="19" spans="1:15" x14ac:dyDescent="0.3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  <c r="K19" s="1" t="s">
        <v>33</v>
      </c>
      <c r="L19" s="1">
        <v>35.754125101951189</v>
      </c>
      <c r="N19" s="1" t="s">
        <v>33</v>
      </c>
      <c r="O19" s="1">
        <v>10627.917117883795</v>
      </c>
    </row>
    <row r="20" spans="1:15" x14ac:dyDescent="0.3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  <c r="K20" s="1" t="s">
        <v>34</v>
      </c>
      <c r="L20" s="1">
        <v>-1.2573274064961719</v>
      </c>
      <c r="N20" s="1" t="s">
        <v>34</v>
      </c>
      <c r="O20" s="1">
        <v>3.3590635737383412E-2</v>
      </c>
    </row>
    <row r="21" spans="1:15" x14ac:dyDescent="0.3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  <c r="K21" s="1" t="s">
        <v>35</v>
      </c>
      <c r="L21" s="1">
        <v>-7.2949933573223061E-2</v>
      </c>
      <c r="N21" s="1" t="s">
        <v>35</v>
      </c>
      <c r="O21" s="1">
        <v>0.90773181948309378</v>
      </c>
    </row>
    <row r="22" spans="1:15" x14ac:dyDescent="0.3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G22">
        <v>11</v>
      </c>
      <c r="H22">
        <v>59.75</v>
      </c>
      <c r="K22" s="1" t="s">
        <v>36</v>
      </c>
      <c r="L22" s="1">
        <v>19</v>
      </c>
      <c r="N22" s="1" t="s">
        <v>36</v>
      </c>
      <c r="O22" s="1">
        <v>424.96</v>
      </c>
    </row>
    <row r="23" spans="1:15" x14ac:dyDescent="0.3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  <c r="K23" s="1" t="s">
        <v>37</v>
      </c>
      <c r="L23" s="1">
        <v>1</v>
      </c>
      <c r="N23" s="1" t="s">
        <v>37</v>
      </c>
      <c r="O23" s="1">
        <v>2.1800000000000002</v>
      </c>
    </row>
    <row r="24" spans="1:15" x14ac:dyDescent="0.3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  <c r="K24" s="1" t="s">
        <v>38</v>
      </c>
      <c r="L24" s="1">
        <v>20</v>
      </c>
      <c r="N24" s="1" t="s">
        <v>38</v>
      </c>
      <c r="O24" s="1">
        <v>427.14</v>
      </c>
    </row>
    <row r="25" spans="1:15" x14ac:dyDescent="0.3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  <c r="K25" s="1" t="s">
        <v>39</v>
      </c>
      <c r="L25" s="1">
        <v>2685</v>
      </c>
      <c r="N25" s="1" t="s">
        <v>39</v>
      </c>
      <c r="O25" s="1">
        <v>31312.779999999995</v>
      </c>
    </row>
    <row r="26" spans="1:15" ht="15" thickBot="1" x14ac:dyDescent="0.35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  <c r="K26" s="2" t="s">
        <v>40</v>
      </c>
      <c r="L26" s="2">
        <v>253</v>
      </c>
      <c r="N26" s="2" t="s">
        <v>40</v>
      </c>
      <c r="O26" s="2">
        <v>253</v>
      </c>
    </row>
    <row r="27" spans="1:15" x14ac:dyDescent="0.3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15" x14ac:dyDescent="0.3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15" x14ac:dyDescent="0.3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15" x14ac:dyDescent="0.3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15" x14ac:dyDescent="0.3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15" x14ac:dyDescent="0.3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 x14ac:dyDescent="0.3">
      <c r="A33">
        <v>30</v>
      </c>
      <c r="B33" t="s">
        <v>8</v>
      </c>
      <c r="C33" t="s">
        <v>20</v>
      </c>
      <c r="D33" t="s">
        <v>10</v>
      </c>
      <c r="E33" t="s">
        <v>23</v>
      </c>
      <c r="F33" t="s">
        <v>27</v>
      </c>
      <c r="G33">
        <v>15</v>
      </c>
      <c r="H33">
        <v>198.54</v>
      </c>
    </row>
    <row r="34" spans="1:8" x14ac:dyDescent="0.3">
      <c r="A34">
        <v>31</v>
      </c>
      <c r="B34" t="s">
        <v>8</v>
      </c>
      <c r="C34" t="s">
        <v>20</v>
      </c>
      <c r="D34" t="s">
        <v>26</v>
      </c>
      <c r="E34" t="s">
        <v>11</v>
      </c>
      <c r="F34" t="s">
        <v>19</v>
      </c>
      <c r="G34">
        <v>3</v>
      </c>
      <c r="H34">
        <v>11.88</v>
      </c>
    </row>
    <row r="35" spans="1:8" x14ac:dyDescent="0.3">
      <c r="A35">
        <v>32</v>
      </c>
      <c r="B35" t="s">
        <v>8</v>
      </c>
      <c r="C35" t="s">
        <v>9</v>
      </c>
      <c r="D35" t="s">
        <v>10</v>
      </c>
      <c r="E35" t="s">
        <v>23</v>
      </c>
      <c r="F35" t="s">
        <v>27</v>
      </c>
      <c r="G35">
        <v>3</v>
      </c>
      <c r="H35">
        <v>17.3</v>
      </c>
    </row>
    <row r="36" spans="1:8" x14ac:dyDescent="0.3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 x14ac:dyDescent="0.3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 x14ac:dyDescent="0.3">
      <c r="A38">
        <v>35</v>
      </c>
      <c r="B38" t="s">
        <v>8</v>
      </c>
      <c r="C38" t="s">
        <v>9</v>
      </c>
      <c r="D38" t="s">
        <v>26</v>
      </c>
      <c r="E38" t="s">
        <v>18</v>
      </c>
      <c r="F38" t="s">
        <v>12</v>
      </c>
      <c r="G38">
        <v>2</v>
      </c>
      <c r="H38">
        <v>28.72</v>
      </c>
    </row>
    <row r="39" spans="1:8" x14ac:dyDescent="0.3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 x14ac:dyDescent="0.3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 x14ac:dyDescent="0.3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 x14ac:dyDescent="0.3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 x14ac:dyDescent="0.3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 x14ac:dyDescent="0.3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 x14ac:dyDescent="0.3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 x14ac:dyDescent="0.3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 x14ac:dyDescent="0.3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 x14ac:dyDescent="0.3">
      <c r="A48">
        <v>44</v>
      </c>
      <c r="B48" t="s">
        <v>8</v>
      </c>
      <c r="C48" t="s">
        <v>20</v>
      </c>
      <c r="D48" t="s">
        <v>26</v>
      </c>
      <c r="E48" t="s">
        <v>21</v>
      </c>
      <c r="F48" t="s">
        <v>19</v>
      </c>
      <c r="G48">
        <v>11</v>
      </c>
      <c r="H48">
        <v>43.08</v>
      </c>
    </row>
    <row r="49" spans="1:8" x14ac:dyDescent="0.3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 x14ac:dyDescent="0.3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 x14ac:dyDescent="0.3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 x14ac:dyDescent="0.3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 x14ac:dyDescent="0.3">
      <c r="A53">
        <v>49</v>
      </c>
      <c r="B53" t="s">
        <v>13</v>
      </c>
      <c r="C53" t="s">
        <v>14</v>
      </c>
      <c r="D53" t="s">
        <v>15</v>
      </c>
      <c r="E53" t="s">
        <v>21</v>
      </c>
      <c r="F53" t="s">
        <v>27</v>
      </c>
      <c r="G53">
        <v>2</v>
      </c>
      <c r="H53">
        <v>13.5</v>
      </c>
    </row>
    <row r="54" spans="1:8" x14ac:dyDescent="0.3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 x14ac:dyDescent="0.3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 x14ac:dyDescent="0.3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 x14ac:dyDescent="0.3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 x14ac:dyDescent="0.3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 x14ac:dyDescent="0.3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 x14ac:dyDescent="0.3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 x14ac:dyDescent="0.3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 x14ac:dyDescent="0.3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 x14ac:dyDescent="0.3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 x14ac:dyDescent="0.3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 x14ac:dyDescent="0.3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G65">
        <v>11</v>
      </c>
      <c r="H65">
        <v>20.09</v>
      </c>
    </row>
    <row r="66" spans="1:8" x14ac:dyDescent="0.3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 x14ac:dyDescent="0.3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 x14ac:dyDescent="0.3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 x14ac:dyDescent="0.3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 x14ac:dyDescent="0.3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 x14ac:dyDescent="0.3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 x14ac:dyDescent="0.3">
      <c r="A72">
        <v>68</v>
      </c>
      <c r="B72" t="s">
        <v>8</v>
      </c>
      <c r="C72" t="s">
        <v>9</v>
      </c>
      <c r="D72" t="s">
        <v>15</v>
      </c>
      <c r="E72" t="s">
        <v>21</v>
      </c>
      <c r="F72" t="s">
        <v>27</v>
      </c>
      <c r="G72">
        <v>1</v>
      </c>
      <c r="H72">
        <v>7.22</v>
      </c>
    </row>
    <row r="73" spans="1:8" x14ac:dyDescent="0.3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 x14ac:dyDescent="0.3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 x14ac:dyDescent="0.3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 x14ac:dyDescent="0.3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 x14ac:dyDescent="0.3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 x14ac:dyDescent="0.3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 x14ac:dyDescent="0.3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 x14ac:dyDescent="0.3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 x14ac:dyDescent="0.3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 x14ac:dyDescent="0.3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 x14ac:dyDescent="0.3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 x14ac:dyDescent="0.3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 x14ac:dyDescent="0.3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 x14ac:dyDescent="0.3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 x14ac:dyDescent="0.3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 x14ac:dyDescent="0.3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 x14ac:dyDescent="0.3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 x14ac:dyDescent="0.3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 x14ac:dyDescent="0.3">
      <c r="A91">
        <v>87</v>
      </c>
      <c r="B91" t="s">
        <v>8</v>
      </c>
      <c r="C91" t="s">
        <v>20</v>
      </c>
      <c r="D91" t="s">
        <v>10</v>
      </c>
      <c r="E91" t="s">
        <v>11</v>
      </c>
      <c r="F91" t="s">
        <v>27</v>
      </c>
      <c r="G91">
        <v>2</v>
      </c>
      <c r="H91">
        <v>5.86</v>
      </c>
    </row>
    <row r="92" spans="1:8" x14ac:dyDescent="0.3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 x14ac:dyDescent="0.3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 x14ac:dyDescent="0.3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 x14ac:dyDescent="0.3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 x14ac:dyDescent="0.3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 x14ac:dyDescent="0.3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 x14ac:dyDescent="0.3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 x14ac:dyDescent="0.3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 x14ac:dyDescent="0.3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 x14ac:dyDescent="0.3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 x14ac:dyDescent="0.3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 x14ac:dyDescent="0.3">
      <c r="A103">
        <v>99</v>
      </c>
      <c r="B103" t="s">
        <v>8</v>
      </c>
      <c r="C103" t="s">
        <v>9</v>
      </c>
      <c r="D103" t="s">
        <v>15</v>
      </c>
      <c r="E103" t="s">
        <v>21</v>
      </c>
      <c r="F103" t="s">
        <v>27</v>
      </c>
      <c r="G103">
        <v>17</v>
      </c>
      <c r="H103">
        <v>277.39999999999998</v>
      </c>
    </row>
    <row r="104" spans="1:8" x14ac:dyDescent="0.3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 x14ac:dyDescent="0.3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 x14ac:dyDescent="0.3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 x14ac:dyDescent="0.3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 x14ac:dyDescent="0.3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 x14ac:dyDescent="0.3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 x14ac:dyDescent="0.3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 x14ac:dyDescent="0.3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 x14ac:dyDescent="0.3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 x14ac:dyDescent="0.3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 x14ac:dyDescent="0.3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 x14ac:dyDescent="0.3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 x14ac:dyDescent="0.3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 x14ac:dyDescent="0.3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 x14ac:dyDescent="0.3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 x14ac:dyDescent="0.3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 x14ac:dyDescent="0.3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 x14ac:dyDescent="0.3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 x14ac:dyDescent="0.3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 x14ac:dyDescent="0.3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 x14ac:dyDescent="0.3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 x14ac:dyDescent="0.3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 x14ac:dyDescent="0.3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 x14ac:dyDescent="0.3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 x14ac:dyDescent="0.3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 x14ac:dyDescent="0.3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 x14ac:dyDescent="0.3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 x14ac:dyDescent="0.3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 x14ac:dyDescent="0.3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 x14ac:dyDescent="0.3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 x14ac:dyDescent="0.3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 x14ac:dyDescent="0.3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 x14ac:dyDescent="0.3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 x14ac:dyDescent="0.3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 x14ac:dyDescent="0.3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 x14ac:dyDescent="0.3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 x14ac:dyDescent="0.3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 x14ac:dyDescent="0.3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 x14ac:dyDescent="0.3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 x14ac:dyDescent="0.3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 x14ac:dyDescent="0.3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 x14ac:dyDescent="0.3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 x14ac:dyDescent="0.3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 x14ac:dyDescent="0.3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 x14ac:dyDescent="0.3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 x14ac:dyDescent="0.3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 x14ac:dyDescent="0.3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 x14ac:dyDescent="0.3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 x14ac:dyDescent="0.3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 x14ac:dyDescent="0.3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 x14ac:dyDescent="0.3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 x14ac:dyDescent="0.3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 x14ac:dyDescent="0.3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 x14ac:dyDescent="0.3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 x14ac:dyDescent="0.3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 x14ac:dyDescent="0.3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 x14ac:dyDescent="0.3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 x14ac:dyDescent="0.3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 x14ac:dyDescent="0.3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 x14ac:dyDescent="0.3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 x14ac:dyDescent="0.3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 x14ac:dyDescent="0.3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 x14ac:dyDescent="0.3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 x14ac:dyDescent="0.3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 x14ac:dyDescent="0.3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 x14ac:dyDescent="0.3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 x14ac:dyDescent="0.3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 x14ac:dyDescent="0.3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 x14ac:dyDescent="0.3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 x14ac:dyDescent="0.3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 x14ac:dyDescent="0.3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 x14ac:dyDescent="0.3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 x14ac:dyDescent="0.3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 x14ac:dyDescent="0.3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 x14ac:dyDescent="0.3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 x14ac:dyDescent="0.3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 x14ac:dyDescent="0.3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 x14ac:dyDescent="0.3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 x14ac:dyDescent="0.3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 x14ac:dyDescent="0.3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 x14ac:dyDescent="0.3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 x14ac:dyDescent="0.3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 x14ac:dyDescent="0.3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 x14ac:dyDescent="0.3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 x14ac:dyDescent="0.3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 x14ac:dyDescent="0.3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 x14ac:dyDescent="0.3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 x14ac:dyDescent="0.3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 x14ac:dyDescent="0.3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 x14ac:dyDescent="0.3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 x14ac:dyDescent="0.3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 x14ac:dyDescent="0.3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 x14ac:dyDescent="0.3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 x14ac:dyDescent="0.3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 x14ac:dyDescent="0.3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 x14ac:dyDescent="0.3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 x14ac:dyDescent="0.3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 x14ac:dyDescent="0.3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 x14ac:dyDescent="0.3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 x14ac:dyDescent="0.3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 x14ac:dyDescent="0.3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 x14ac:dyDescent="0.3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 x14ac:dyDescent="0.3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 x14ac:dyDescent="0.3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 x14ac:dyDescent="0.3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 x14ac:dyDescent="0.3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 x14ac:dyDescent="0.3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 x14ac:dyDescent="0.3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 x14ac:dyDescent="0.3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 x14ac:dyDescent="0.3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 x14ac:dyDescent="0.3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 x14ac:dyDescent="0.3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 x14ac:dyDescent="0.3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 x14ac:dyDescent="0.3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 x14ac:dyDescent="0.3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 x14ac:dyDescent="0.3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 x14ac:dyDescent="0.3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 x14ac:dyDescent="0.3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 x14ac:dyDescent="0.3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 x14ac:dyDescent="0.3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 x14ac:dyDescent="0.3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 x14ac:dyDescent="0.3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 x14ac:dyDescent="0.3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 x14ac:dyDescent="0.3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 x14ac:dyDescent="0.3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 x14ac:dyDescent="0.3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 x14ac:dyDescent="0.3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 x14ac:dyDescent="0.3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 x14ac:dyDescent="0.3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 x14ac:dyDescent="0.3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 x14ac:dyDescent="0.3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 x14ac:dyDescent="0.3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 x14ac:dyDescent="0.3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 x14ac:dyDescent="0.3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 x14ac:dyDescent="0.3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 x14ac:dyDescent="0.3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 x14ac:dyDescent="0.3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 x14ac:dyDescent="0.3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 x14ac:dyDescent="0.3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 x14ac:dyDescent="0.3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 x14ac:dyDescent="0.3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 x14ac:dyDescent="0.3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 x14ac:dyDescent="0.3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 x14ac:dyDescent="0.3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 x14ac:dyDescent="0.3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 x14ac:dyDescent="0.3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 x14ac:dyDescent="0.3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 x14ac:dyDescent="0.3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 x14ac:dyDescent="0.3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 x14ac:dyDescent="0.3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 x14ac:dyDescent="0.3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96E1-B57C-4F2F-9C67-2C73BB3F22AF}">
  <dimension ref="A3:B7"/>
  <sheetViews>
    <sheetView workbookViewId="0">
      <selection activeCell="A3" sqref="A3:B7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5" t="s">
        <v>41</v>
      </c>
      <c r="B3" t="s">
        <v>43</v>
      </c>
    </row>
    <row r="4" spans="1:2" x14ac:dyDescent="0.3">
      <c r="A4" s="6" t="s">
        <v>10</v>
      </c>
      <c r="B4" s="4">
        <v>17855.869999999995</v>
      </c>
    </row>
    <row r="5" spans="1:2" x14ac:dyDescent="0.3">
      <c r="A5" s="6" t="s">
        <v>15</v>
      </c>
      <c r="B5" s="4">
        <v>13373.230000000001</v>
      </c>
    </row>
    <row r="6" spans="1:2" x14ac:dyDescent="0.3">
      <c r="A6" s="6" t="s">
        <v>26</v>
      </c>
      <c r="B6" s="4">
        <v>83.68</v>
      </c>
    </row>
    <row r="7" spans="1:2" x14ac:dyDescent="0.3">
      <c r="A7" s="6" t="s">
        <v>42</v>
      </c>
      <c r="B7" s="4">
        <v>31312.78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2183-9EA1-4D5C-9B3C-2B7DF9209374}">
  <dimension ref="A3:B7"/>
  <sheetViews>
    <sheetView tabSelected="1"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5" t="s">
        <v>41</v>
      </c>
      <c r="B3" t="s">
        <v>43</v>
      </c>
    </row>
    <row r="4" spans="1:2" x14ac:dyDescent="0.3">
      <c r="A4" s="6" t="s">
        <v>20</v>
      </c>
      <c r="B4" s="4">
        <v>11133.049999999997</v>
      </c>
    </row>
    <row r="5" spans="1:2" x14ac:dyDescent="0.3">
      <c r="A5" s="6" t="s">
        <v>14</v>
      </c>
      <c r="B5" s="4">
        <v>9187.4599999999973</v>
      </c>
    </row>
    <row r="6" spans="1:2" x14ac:dyDescent="0.3">
      <c r="A6" s="6" t="s">
        <v>9</v>
      </c>
      <c r="B6" s="4">
        <v>10992.269999999997</v>
      </c>
    </row>
    <row r="7" spans="1:2" x14ac:dyDescent="0.3">
      <c r="A7" s="6" t="s">
        <v>42</v>
      </c>
      <c r="B7" s="4">
        <v>31312.779999999992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2024-12-20T03:38:51Z</dcterms:created>
  <dcterms:modified xsi:type="dcterms:W3CDTF">2026-05-17T12:26:06Z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